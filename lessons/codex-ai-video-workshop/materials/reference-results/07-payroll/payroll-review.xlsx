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03dd10815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 review" sheetId="1" r:id="R1cfaa9f7f9c3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1F1B2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4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0d6f84ecf4758" /><Relationship Type="http://schemas.openxmlformats.org/officeDocument/2006/relationships/theme" Target="/xl/theme/theme1.xml" Id="R765068460b8f416f" /><Relationship Type="http://schemas.openxmlformats.org/officeDocument/2006/relationships/sharedStrings" Target="/xl/sharedStrings.xml" Id="R9af6284e96ad4b7f" /><Relationship Type="http://schemas.openxmlformats.org/officeDocument/2006/relationships/worksheet" Target="/xl/worksheets/sheet1.xml" Id="R1cfaa9f7f9c3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8" hidden="0" customWidth="1"/>
    <x:col min="5" max="5" width="20" hidden="0" customWidth="1"/>
    <x:col min="6" max="6" width="20" hidden="0" customWidth="1"/>
    <x:col min="7" max="7" width="38" hidden="0" customWidth="1"/>
  </x:cols>
  <x:sheetData>
    <x:row r="1" ht="36" customHeight="1">
      <x:c r="A1" s="4" t="str">
        <x:v>Employee</x:v>
      </x:c>
      <x:c r="B1" s="4" t="str">
        <x:v>Hours</x:v>
      </x:c>
      <x:c r="C1" s="4" t="str">
        <x:v>Rate AUD</x:v>
      </x:c>
      <x:c r="D1" s="4" t="str">
        <x:v>Given withholding AUD</x:v>
      </x:c>
      <x:c r="E1" s="4" t="str">
        <x:v>Gross AUD</x:v>
      </x:c>
      <x:c r="F1" s="4" t="str">
        <x:v>Net AUD</x:v>
      </x:c>
      <x:c r="G1" s="4" t="str">
        <x:v>Disposition</x:v>
      </x:c>
    </x:row>
    <x:row r="2" ht="30" customHeight="1">
      <x:c r="A2" s="2" t="str">
        <x:v>P01</x:v>
      </x:c>
      <x:c r="B2" s="2" t="n">
        <x:v>16</x:v>
      </x:c>
      <x:c r="C2" s="5" t="n">
        <x:v>40</x:v>
      </x:c>
      <x:c r="D2" s="5" t="n">
        <x:v>144</x:v>
      </x:c>
      <x:c r="E2" s="5" t="n">
        <x:f>IF(B2="","",B2*C2)</x:f>
        <x:v>640</x:v>
      </x:c>
      <x:c r="F2" s="5" t="n">
        <x:f>IF(E2="","",E2-D2)</x:f>
        <x:v>496</x:v>
      </x:c>
      <x:c r="G2" s="2" t="str">
        <x:v>Proposed; review required</x:v>
      </x:c>
    </x:row>
    <x:row r="3" ht="30" customHeight="1">
      <x:c r="A3" s="2" t="str">
        <x:v>P02</x:v>
      </x:c>
      <x:c r="B3" s="2" t="n">
        <x:v>20</x:v>
      </x:c>
      <x:c r="C3" s="5" t="n">
        <x:v>45</x:v>
      </x:c>
      <x:c r="D3" s="5" t="n">
        <x:v>180</x:v>
      </x:c>
      <x:c r="E3" s="5" t="n">
        <x:f>IF(B3="","",B3*C3)</x:f>
        <x:v>900</x:v>
      </x:c>
      <x:c r="F3" s="5" t="n">
        <x:f>IF(E3="","",E3-D3)</x:f>
        <x:v>720</x:v>
      </x:c>
      <x:c r="G3" s="2" t="str">
        <x:v>Proposed; review required</x:v>
      </x:c>
    </x:row>
    <x:row r="4" ht="30" customHeight="1">
      <x:c r="A4" s="2" t="str">
        <x:v>P03</x:v>
      </x:c>
      <x:c r="B4" s="2" t="n">
        <x:v>10</x:v>
      </x:c>
      <x:c r="C4" s="5" t="n">
        <x:v>40</x:v>
      </x:c>
      <x:c r="D4" s="5" t="n">
        <x:v>80</x:v>
      </x:c>
      <x:c r="E4" s="5" t="n">
        <x:f>IF(B4="","",B4*C4)</x:f>
        <x:v>400</x:v>
      </x:c>
      <x:c r="F4" s="5" t="n">
        <x:f>IF(E4="","",E4-D4)</x:f>
        <x:v>320</x:v>
      </x:c>
      <x:c r="G4" s="2" t="str">
        <x:v>Proposed; review required</x:v>
      </x:c>
    </x:row>
    <x:row r="5" ht="30" customHeight="1">
      <x:c r="A5" s="2" t="str">
        <x:v>P04</x:v>
      </x:c>
      <x:c r="B5" s="2"/>
      <x:c r="C5" s="5" t="n">
        <x:v>42</x:v>
      </x:c>
      <x:c r="D5" s="5" t="n">
        <x:v>0</x:v>
      </x:c>
      <x:c r="E5" s="5" t="str">
        <x:f>IF(B5="","",B5*C5)</x:f>
      </x:c>
      <x:c r="F5" s="5" t="str">
        <x:f>IF(E5="","",E5-D5)</x:f>
      </x:c>
      <x:c r="G5" s="2" t="str">
        <x:v>Missing hours; quarantine</x:v>
      </x:c>
    </x:row>
    <x:row r="6">
      <x:c r="C6" s="6"/>
      <x:c r="D6" s="6"/>
      <x:c r="E6" s="6"/>
      <x:c r="F6" s="6"/>
    </x:row>
    <x:row r="7">
      <x:c r="A7" t="str">
        <x:v>Eligible batch totals</x:v>
      </x:c>
      <x:c r="B7"/>
      <x:c r="C7" s="6"/>
      <x:c r="D7" s="6" t="n">
        <x:f>SUM(D2:D4)</x:f>
        <x:v>404</x:v>
      </x:c>
      <x:c r="E7" s="6" t="n">
        <x:f>SUM(E2:E4)</x:f>
        <x:v>1940</x:v>
      </x:c>
      <x:c r="F7" s="6" t="n">
        <x:f>SUM(F2:F4)</x:f>
        <x:v>1536</x:v>
      </x:c>
    </x:row>
    <x:row r="9">
      <x:c r="A9" t="str">
        <x:v>Fictional exercise: supplied withholding only. P04 excluded; no payments approved.</x:v>
      </x:c>
    </x:row>
  </x:sheetData>
  <x:pageMargins left="0.7" right="0.7" top="0.75" bottom="0.75" header="0.3" footer="0.3"/>
</x:worksheet>
</file>