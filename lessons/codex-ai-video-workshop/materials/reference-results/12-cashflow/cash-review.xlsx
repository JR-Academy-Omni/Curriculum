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91435422a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 review" sheetId="1" r:id="Rb81ad9f04df54f5b"/>
    <x:sheet xmlns:r="http://schemas.openxmlformats.org/officeDocument/2006/relationships" name="Transactions" sheetId="2" r:id="R346395f3e9ad4720"/>
    <x:sheet xmlns:r="http://schemas.openxmlformats.org/officeDocument/2006/relationships" name="Exceptions" sheetId="3" r:id="R03a00265da0f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1"/>
      <x:color rgb="FF1F1B2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42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fc4cfe79e4a6f" /><Relationship Type="http://schemas.openxmlformats.org/officeDocument/2006/relationships/theme" Target="/xl/theme/theme1.xml" Id="R9846c74b3288449e" /><Relationship Type="http://schemas.openxmlformats.org/officeDocument/2006/relationships/sharedStrings" Target="/xl/sharedStrings.xml" Id="R4eeaf0eabcaa4821" /><Relationship Type="http://schemas.openxmlformats.org/officeDocument/2006/relationships/worksheet" Target="/xl/worksheets/sheet1.xml" Id="Rb81ad9f04df54f5b" /><Relationship Type="http://schemas.openxmlformats.org/officeDocument/2006/relationships/worksheet" Target="/xl/worksheets/sheet2.xml" Id="R346395f3e9ad4720" /><Relationship Type="http://schemas.openxmlformats.org/officeDocument/2006/relationships/worksheet" Target="/xl/worksheets/sheet3.xml" Id="R03a00265da0f42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3" hidden="0" customWidth="1"/>
  </x:cols>
  <x:sheetData>
    <x:row r="1" ht="36" customHeight="1">
      <x:c r="A1" s="4" t="str">
        <x:v>Metric</x:v>
      </x:c>
      <x:c r="B1" s="4" t="str">
        <x:v>AUD</x:v>
      </x:c>
    </x:row>
    <x:row r="2" ht="30" customHeight="1">
      <x:c r="A2" s="2" t="str">
        <x:v>Opening bank</x:v>
      </x:c>
      <x:c r="B2" s="6" t="n">
        <x:v>2000</x:v>
      </x:c>
    </x:row>
    <x:row r="3" ht="30" customHeight="1">
      <x:c r="A3" s="2" t="str">
        <x:v>Opening wallet</x:v>
      </x:c>
      <x:c r="B3" s="6" t="n">
        <x:v>0</x:v>
      </x:c>
    </x:row>
    <x:row r="4" ht="30" customHeight="1">
      <x:c r="A4" s="2" t="str">
        <x:v>External inflow</x:v>
      </x:c>
      <x:c r="B4" s="6" t="n">
        <x:f>SUMIFS(Transactions!D2:D9,Transactions!D2:D9,"&gt;0",Transactions!E2:E9,"&lt;&gt;Internal transfer")</x:f>
        <x:v>1400</x:v>
      </x:c>
    </x:row>
    <x:row r="5" ht="30" customHeight="1">
      <x:c r="A5" s="2" t="str">
        <x:v>External outflow</x:v>
      </x:c>
      <x:c r="B5" s="6" t="n">
        <x:f>-SUMIFS(Transactions!D2:D9,Transactions!D2:D9,"&lt;0",Transactions!E2:E9,"&lt;&gt;Internal transfer")</x:f>
        <x:v>545</x:v>
      </x:c>
    </x:row>
    <x:row r="6" ht="30" customHeight="1">
      <x:c r="A6" s="2" t="str">
        <x:v>Net external movement</x:v>
      </x:c>
      <x:c r="B6" s="6" t="n">
        <x:f>B4-B5</x:f>
        <x:v>855</x:v>
      </x:c>
    </x:row>
    <x:row r="7" ht="30" customHeight="1">
      <x:c r="A7" s="2" t="str">
        <x:v>Closing bank</x:v>
      </x:c>
      <x:c r="B7" s="6" t="n">
        <x:f>B2+SUMIF(Transactions!F2:F9,"Bank",Transactions!D2:D9)</x:f>
        <x:v>2655</x:v>
      </x:c>
    </x:row>
    <x:row r="8" ht="30" customHeight="1">
      <x:c r="A8" s="2" t="str">
        <x:v>Closing wallet</x:v>
      </x:c>
      <x:c r="B8" s="6" t="n">
        <x:f>B3+SUMIF(Transactions!F2:F9,"Wallet",Transactions!D2:D9)</x:f>
        <x:v>200</x:v>
      </x:c>
    </x:row>
    <x:row r="9" ht="30" customHeight="1">
      <x:c r="A9" s="2" t="str">
        <x:v>Closing total</x:v>
      </x:c>
      <x:c r="B9" s="6" t="n">
        <x:f>B7+B8</x:f>
        <x:v>2855</x:v>
      </x:c>
    </x:row>
    <x:row r="10" ht="30" customHeight="1">
      <x:c r="A10" s="2" t="str">
        <x:v>Balance difference</x:v>
      </x:c>
      <x:c r="B10" s="6" t="n">
        <x:f>B9-(B2+B3+B6)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31" hidden="0" customWidth="1"/>
    <x:col min="4" max="4" width="22" hidden="0" customWidth="1"/>
    <x:col min="5" max="5" width="27" hidden="0" customWidth="1"/>
    <x:col min="6" max="6" width="18" hidden="0" customWidth="1"/>
    <x:col min="7" max="7" width="19" hidden="0" customWidth="1"/>
  </x:cols>
  <x:sheetData>
    <x:row r="1" ht="36" customHeight="1">
      <x:c r="A1" s="4" t="str">
        <x:v>ID</x:v>
      </x:c>
      <x:c r="B1" s="4" t="str">
        <x:v>Date</x:v>
      </x:c>
      <x:c r="C1" s="4" t="str">
        <x:v>Description</x:v>
      </x:c>
      <x:c r="D1" s="4" t="str">
        <x:v>Signed AUD</x:v>
      </x:c>
      <x:c r="E1" s="4" t="str">
        <x:v>Category</x:v>
      </x:c>
      <x:c r="F1" s="4" t="str">
        <x:v>Account</x:v>
      </x:c>
      <x:c r="G1" s="4" t="str">
        <x:v>Source row</x:v>
      </x:c>
    </x:row>
    <x:row r="2" ht="30" customHeight="1">
      <x:c r="A2" s="2" t="str">
        <x:v>T01</x:v>
      </x:c>
      <x:c r="B2" s="5" t="d">
        <x:v>2026-10-01T00:00:00.000Z</x:v>
      </x:c>
      <x:c r="C2" s="2" t="str">
        <x:v>Customer deposit</x:v>
      </x:c>
      <x:c r="D2" s="6" t="n">
        <x:v>800</x:v>
      </x:c>
      <x:c r="E2" s="2" t="str">
        <x:v>Client receipts</x:v>
      </x:c>
      <x:c r="F2" s="2" t="str">
        <x:v>Bank</x:v>
      </x:c>
      <x:c r="G2" s="2" t="n">
        <x:v>2</x:v>
      </x:c>
    </x:row>
    <x:row r="3" ht="30" customHeight="1">
      <x:c r="A3" s="2" t="str">
        <x:v>T02</x:v>
      </x:c>
      <x:c r="B3" s="5" t="d">
        <x:v>2026-10-03T00:00:00.000Z</x:v>
      </x:c>
      <x:c r="C3" s="2" t="str">
        <x:v>Venue hire</x:v>
      </x:c>
      <x:c r="D3" s="6" t="n">
        <x:v>-300</x:v>
      </x:c>
      <x:c r="E3" s="2" t="str">
        <x:v>Venue</x:v>
      </x:c>
      <x:c r="F3" s="2" t="str">
        <x:v>Bank</x:v>
      </x:c>
      <x:c r="G3" s="2" t="n">
        <x:v>3</x:v>
      </x:c>
    </x:row>
    <x:row r="4" ht="30" customHeight="1">
      <x:c r="A4" s="2" t="str">
        <x:v>T03</x:v>
      </x:c>
      <x:c r="B4" s="5" t="d">
        <x:v>2026-10-05T00:00:00.000Z</x:v>
      </x:c>
      <x:c r="C4" s="2" t="str">
        <x:v>Materials</x:v>
      </x:c>
      <x:c r="D4" s="6" t="n">
        <x:v>-120</x:v>
      </x:c>
      <x:c r="E4" s="2" t="str">
        <x:v>Materials</x:v>
      </x:c>
      <x:c r="F4" s="2" t="str">
        <x:v>Bank</x:v>
      </x:c>
      <x:c r="G4" s="2" t="n">
        <x:v>4</x:v>
      </x:c>
    </x:row>
    <x:row r="5" ht="30" customHeight="1">
      <x:c r="A5" s="2" t="str">
        <x:v>T04</x:v>
      </x:c>
      <x:c r="B5" s="5" t="d">
        <x:v>2026-10-07T00:00:00.000Z</x:v>
      </x:c>
      <x:c r="C5" s="2" t="str">
        <x:v>Internal transfer out</x:v>
      </x:c>
      <x:c r="D5" s="6" t="n">
        <x:v>-200</x:v>
      </x:c>
      <x:c r="E5" s="2" t="str">
        <x:v>Internal transfer</x:v>
      </x:c>
      <x:c r="F5" s="2" t="str">
        <x:v>Bank</x:v>
      </x:c>
      <x:c r="G5" s="2" t="n">
        <x:v>5</x:v>
      </x:c>
    </x:row>
    <x:row r="6" ht="30" customHeight="1">
      <x:c r="A6" s="2" t="str">
        <x:v>T05</x:v>
      </x:c>
      <x:c r="B6" s="5" t="d">
        <x:v>2026-10-07T00:00:00.000Z</x:v>
      </x:c>
      <x:c r="C6" s="2" t="str">
        <x:v>Internal transfer in</x:v>
      </x:c>
      <x:c r="D6" s="6" t="n">
        <x:v>200</x:v>
      </x:c>
      <x:c r="E6" s="2" t="str">
        <x:v>Internal transfer</x:v>
      </x:c>
      <x:c r="F6" s="2" t="str">
        <x:v>Wallet</x:v>
      </x:c>
      <x:c r="G6" s="2" t="n">
        <x:v>6</x:v>
      </x:c>
    </x:row>
    <x:row r="7" ht="30" customHeight="1">
      <x:c r="A7" s="2" t="str">
        <x:v>T06</x:v>
      </x:c>
      <x:c r="B7" s="5" t="d">
        <x:v>2026-10-09T00:00:00.000Z</x:v>
      </x:c>
      <x:c r="C7" s="2" t="str">
        <x:v>Customer refund</x:v>
      </x:c>
      <x:c r="D7" s="6" t="n">
        <x:v>-80</x:v>
      </x:c>
      <x:c r="E7" s="2" t="str">
        <x:v>Customer refunds</x:v>
      </x:c>
      <x:c r="F7" s="2" t="str">
        <x:v>Bank</x:v>
      </x:c>
      <x:c r="G7" s="2" t="n">
        <x:v>7</x:v>
      </x:c>
    </x:row>
    <x:row r="8" ht="30" customHeight="1">
      <x:c r="A8" s="2" t="str">
        <x:v>T07</x:v>
      </x:c>
      <x:c r="B8" s="5" t="d">
        <x:v>2026-10-12T00:00:00.000Z</x:v>
      </x:c>
      <x:c r="C8" s="2" t="str">
        <x:v>Balance received</x:v>
      </x:c>
      <x:c r="D8" s="6" t="n">
        <x:v>600</x:v>
      </x:c>
      <x:c r="E8" s="2" t="str">
        <x:v>Client receipts</x:v>
      </x:c>
      <x:c r="F8" s="2" t="str">
        <x:v>Bank</x:v>
      </x:c>
      <x:c r="G8" s="2" t="n">
        <x:v>8</x:v>
      </x:c>
    </x:row>
    <x:row r="9" ht="30" customHeight="1">
      <x:c r="A9" s="2" t="str">
        <x:v>T08</x:v>
      </x:c>
      <x:c r="B9" s="5" t="d">
        <x:v>2026-10-14T00:00:00.000Z</x:v>
      </x:c>
      <x:c r="C9" s="2" t="str">
        <x:v>Unclear purchase</x:v>
      </x:c>
      <x:c r="D9" s="6" t="n">
        <x:v>-45</x:v>
      </x:c>
      <x:c r="E9" s="2" t="str">
        <x:v>Unclassified</x:v>
      </x:c>
      <x:c r="F9" s="2" t="str">
        <x:v>Bank</x:v>
      </x:c>
      <x:c r="G9" s="2" t="n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44" hidden="0" customWidth="1"/>
    <x:col min="4" max="4" width="49" hidden="0" customWidth="1"/>
  </x:cols>
  <x:sheetData>
    <x:row r="1" ht="36" customHeight="1">
      <x:c r="A1" s="4" t="str">
        <x:v>Source row</x:v>
      </x:c>
      <x:c r="B1" s="4" t="str">
        <x:v>ID</x:v>
      </x:c>
      <x:c r="C1" s="4" t="str">
        <x:v>Issue</x:v>
      </x:c>
      <x:c r="D1" s="4" t="str">
        <x:v>Treatment</x:v>
      </x:c>
    </x:row>
    <x:row r="2" ht="30" customHeight="1">
      <x:c r="A2" s="2" t="n">
        <x:v>10</x:v>
      </x:c>
      <x:c r="B2" s="2" t="str">
        <x:v>T03</x:v>
      </x:c>
      <x:c r="C2" s="2" t="str">
        <x:v>Exact duplicate of row 4</x:v>
      </x:c>
      <x:c r="D2" s="2" t="str">
        <x:v>Excluded duplicate; original retained</x:v>
      </x:c>
    </x:row>
    <x:row r="3" ht="30" customHeight="1">
      <x:c r="A3" s="2" t="n">
        <x:v>9</x:v>
      </x:c>
      <x:c r="B3" s="2" t="str">
        <x:v>T08</x:v>
      </x:c>
      <x:c r="C3" s="2" t="str">
        <x:v>Receipt/category unknown</x:v>
      </x:c>
      <x:c r="D3" s="2" t="str">
        <x:v>Included in cash; remains Unclassified</x:v>
      </x:c>
    </x:row>
  </x:sheetData>
  <x:pageMargins left="0.7" right="0.7" top="0.75" bottom="0.75" header="0.3" footer="0.3"/>
</x:worksheet>
</file>