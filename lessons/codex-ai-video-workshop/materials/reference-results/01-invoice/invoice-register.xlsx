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5b801f6c9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ebb1bb2bca6c4d00"/>
    <x:sheet xmlns:r="http://schemas.openxmlformats.org/officeDocument/2006/relationships" name="Totals" sheetId="2" r:id="Rd5ff1398ec28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"/>
    <x:numFmt numFmtId="202" formatCode="0%"/>
    <x:numFmt numFmtId="203" formatCode="0.00"/>
  </x:numFmts>
  <x:fonts count="7">
    <x:font>
      <x:sz val="11"/>
      <x:name val="Carlito"/>
    </x:font>
    <x:font>
      <x:sz val="11"/>
      <x:name val="Arial"/>
    </x:font>
    <x:font>
      <x:sz val="11"/>
      <x:color rgb="FFFFFEF7"/>
      <x:name val="Arial"/>
    </x:font>
    <x:font>
      <x:b/>
      <x:sz val="11"/>
      <x:color rgb="FFFFFEF7"/>
      <x:name val="Arial"/>
    </x:font>
    <x:font>
      <x:sz val="12"/>
      <x:name val="Arial"/>
    </x:font>
    <x:font>
      <x:sz val="12"/>
      <x:color rgb="FFFFFEF7"/>
      <x:name val="Arial"/>
    </x:font>
    <x:font>
      <x:b/>
      <x:sz val="12"/>
      <x:color rgb="FFFFFEF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1B2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92631ff94466d" /><Relationship Type="http://schemas.openxmlformats.org/officeDocument/2006/relationships/theme" Target="/xl/theme/theme1.xml" Id="Rcd643c997f3d46e1" /><Relationship Type="http://schemas.openxmlformats.org/officeDocument/2006/relationships/sharedStrings" Target="/xl/sharedStrings.xml" Id="Rfe72ad1acd0f49f0" /><Relationship Type="http://schemas.openxmlformats.org/officeDocument/2006/relationships/worksheet" Target="/xl/worksheets/sheet1.xml" Id="Rebb1bb2bca6c4d00" /><Relationship Type="http://schemas.openxmlformats.org/officeDocument/2006/relationships/worksheet" Target="/xl/worksheets/sheet2.xml" Id="Rd5ff1398ec28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3" hidden="0" customWidth="1"/>
    <x:col min="21" max="21" width="18" hidden="0" customWidth="1"/>
  </x:cols>
  <x:sheetData>
    <x:row r="1" ht="48" customHeight="1">
      <x:c r="A1" s="5" t="str">
        <x:v>Source file</x:v>
      </x:c>
      <x:c r="B1" s="5" t="str">
        <x:v>Page</x:v>
      </x:c>
      <x:c r="C1" s="5" t="str">
        <x:v>Supplier</x:v>
      </x:c>
      <x:c r="D1" s="5" t="str">
        <x:v>Supplier ABN</x:v>
      </x:c>
      <x:c r="E1" s="5" t="str">
        <x:v>Buyer</x:v>
      </x:c>
      <x:c r="F1" s="5" t="str">
        <x:v>Document type</x:v>
      </x:c>
      <x:c r="G1" s="5" t="str">
        <x:v>Invoice number</x:v>
      </x:c>
      <x:c r="H1" s="5" t="str">
        <x:v>Issue date</x:v>
      </x:c>
      <x:c r="I1" s="5" t="str">
        <x:v>Due date</x:v>
      </x:c>
      <x:c r="J1" s="5" t="str">
        <x:v>Purchase order</x:v>
      </x:c>
      <x:c r="K1" s="5" t="str">
        <x:v>Currency</x:v>
      </x:c>
      <x:c r="L1" s="5" t="str">
        <x:v>Subtotal ex GST</x:v>
      </x:c>
      <x:c r="M1" s="5" t="str">
        <x:v>GST rate</x:v>
      </x:c>
      <x:c r="N1" s="5" t="str">
        <x:v>GST shown</x:v>
      </x:c>
      <x:c r="O1" s="5" t="str">
        <x:v>Total incl GST</x:v>
      </x:c>
      <x:c r="P1" s="5" t="str">
        <x:v>Calculated GST</x:v>
      </x:c>
      <x:c r="Q1" s="5" t="str">
        <x:v>Calculated total</x:v>
      </x:c>
      <x:c r="R1" s="5" t="str">
        <x:v>Amount difference</x:v>
      </x:c>
      <x:c r="S1" s="5" t="str">
        <x:v>Duplicate check</x:v>
      </x:c>
      <x:c r="T1" s="5" t="str">
        <x:v>GST-credit review</x:v>
      </x:c>
      <x:c r="U1" s="5" t="str">
        <x:v>GST difference</x:v>
      </x:c>
    </x:row>
    <x:row r="2" ht="42" customHeight="1">
      <x:c r="A2" s="6" t="str">
        <x:v>01-lumen.pdf</x:v>
      </x:c>
      <x:c r="B2" s="6" t="n">
        <x:v>1</x:v>
      </x:c>
      <x:c r="C2" s="6" t="str">
        <x:v>Lumen Event Studio</x:v>
      </x:c>
      <x:c r="D2" s="6" t="str">
        <x:v>80 000 000 001</x:v>
      </x:c>
      <x:c r="E2" s="6" t="str">
        <x:v>Cedar Events</x:v>
      </x:c>
      <x:c r="F2" s="6" t="str">
        <x:v>TAX INVOICE</x:v>
      </x:c>
      <x:c r="G2" s="6" t="str">
        <x:v>LUM-1001</x:v>
      </x:c>
      <x:c r="H2" s="7" t="d">
        <x:v>2026-10-01T00:00:00.000Z</x:v>
      </x:c>
      <x:c r="I2" s="7" t="d">
        <x:v>2026-10-15T00:00:00.000Z</x:v>
      </x:c>
      <x:c r="J2" s="6" t="str">
        <x:v>EV-026</x:v>
      </x:c>
      <x:c r="K2" s="6" t="str">
        <x:v>AUD</x:v>
      </x:c>
      <x:c r="L2" s="8" t="n">
        <x:v>1000</x:v>
      </x:c>
      <x:c r="M2" s="9" t="n">
        <x:v>0.1</x:v>
      </x:c>
      <x:c r="N2" s="8" t="n">
        <x:v>100</x:v>
      </x:c>
      <x:c r="O2" s="8" t="n">
        <x:v>1100</x:v>
      </x:c>
      <x:c r="P2" s="8" t="n">
        <x:f>ROUND(L2*M2,2)</x:f>
        <x:v>100</x:v>
      </x:c>
      <x:c r="Q2" s="8" t="n">
        <x:f>ROUND(L2+N2,2)</x:f>
        <x:v>1100</x:v>
      </x:c>
      <x:c r="R2" s="8" t="n">
        <x:f>ROUND(O2-Q2,2)</x:f>
        <x:v>0</x:v>
      </x:c>
      <x:c r="S2" s="6" t="str">
        <x:f>IF(COUNTIFS($C$2:C2,C2,$G$2:G2,G2,$K$2:K2,K2)&gt;1,"Duplicate","Unique")</x:f>
        <x:v>Unique</x:v>
      </x:c>
      <x:c r="T2" s="6" t="str">
        <x:f>IF(D2="","Supplier ABN missing; verify before claiming","ABR no record; verify before claiming")</x:f>
        <x:v>ABR no record; verify before claiming</x:v>
      </x:c>
      <x:c r="U2" s="10" t="n">
        <x:f>ROUND(N2-P2,2)</x:f>
        <x:v>0</x:v>
      </x:c>
    </x:row>
    <x:row r="3" ht="42" customHeight="1">
      <x:c r="A3" s="6" t="str">
        <x:v>02-harbour.pdf</x:v>
      </x:c>
      <x:c r="B3" s="6" t="n">
        <x:v>1</x:v>
      </x:c>
      <x:c r="C3" s="6" t="str">
        <x:v>Harbour Print Lab</x:v>
      </x:c>
      <x:c r="D3" s="6" t="str">
        <x:v>61 000 000 002</x:v>
      </x:c>
      <x:c r="E3" s="6" t="str">
        <x:v>Cedar Events</x:v>
      </x:c>
      <x:c r="F3" s="6" t="str">
        <x:v>TAX INVOICE</x:v>
      </x:c>
      <x:c r="G3" s="6" t="str">
        <x:v>HPL-2008</x:v>
      </x:c>
      <x:c r="H3" s="7" t="d">
        <x:v>2026-10-03T00:00:00.000Z</x:v>
      </x:c>
      <x:c r="I3" s="7" t="d">
        <x:v>2026-10-17T00:00:00.000Z</x:v>
      </x:c>
      <x:c r="J3" s="6" t="str">
        <x:v>EV-026</x:v>
      </x:c>
      <x:c r="K3" s="6" t="str">
        <x:v>AUD</x:v>
      </x:c>
      <x:c r="L3" s="8" t="n">
        <x:v>600</x:v>
      </x:c>
      <x:c r="M3" s="9" t="n">
        <x:v>0.1</x:v>
      </x:c>
      <x:c r="N3" s="8" t="n">
        <x:v>60</x:v>
      </x:c>
      <x:c r="O3" s="8" t="n">
        <x:v>660</x:v>
      </x:c>
      <x:c r="P3" s="8" t="n">
        <x:f>ROUND(L3*M3,2)</x:f>
        <x:v>60</x:v>
      </x:c>
      <x:c r="Q3" s="8" t="n">
        <x:f>ROUND(L3+N3,2)</x:f>
        <x:v>660</x:v>
      </x:c>
      <x:c r="R3" s="8" t="n">
        <x:f>ROUND(O3-Q3,2)</x:f>
        <x:v>0</x:v>
      </x:c>
      <x:c r="S3" s="6" t="str">
        <x:f>IF(COUNTIFS($C$2:C3,C3,$G$2:G3,G3,$K$2:K3,K3)&gt;1,"Duplicate","Unique")</x:f>
        <x:v>Unique</x:v>
      </x:c>
      <x:c r="T3" s="6" t="str">
        <x:f>IF(D3="","Supplier ABN missing; verify before claiming","ABR no record; verify before claiming")</x:f>
        <x:v>ABR no record; verify before claiming</x:v>
      </x:c>
      <x:c r="U3" s="10" t="n">
        <x:f>ROUND(N3-P3,2)</x:f>
        <x:v>0</x:v>
      </x:c>
    </x:row>
    <x:row r="4" ht="42" customHeight="1">
      <x:c r="A4" s="6" t="str">
        <x:v>03-north.pdf</x:v>
      </x:c>
      <x:c r="B4" s="6" t="n">
        <x:v>1</x:v>
      </x:c>
      <x:c r="C4" s="6" t="str">
        <x:v>North Desk Supplies</x:v>
      </x:c>
      <x:c r="D4" s="6" t="str">
        <x:v>42 000 000 003</x:v>
      </x:c>
      <x:c r="E4" s="6" t="str">
        <x:v>Cedar Events</x:v>
      </x:c>
      <x:c r="F4" s="6" t="str">
        <x:v>TAX INVOICE</x:v>
      </x:c>
      <x:c r="G4" s="6" t="str">
        <x:v>NDS-0032</x:v>
      </x:c>
      <x:c r="H4" s="7" t="d">
        <x:v>2026-10-05T00:00:00.000Z</x:v>
      </x:c>
      <x:c r="I4" s="7"/>
      <x:c r="J4" s="6"/>
      <x:c r="K4" s="6" t="str">
        <x:v>AUD</x:v>
      </x:c>
      <x:c r="L4" s="8" t="n">
        <x:v>250</x:v>
      </x:c>
      <x:c r="M4" s="9" t="n">
        <x:v>0.1</x:v>
      </x:c>
      <x:c r="N4" s="8" t="n">
        <x:v>25</x:v>
      </x:c>
      <x:c r="O4" s="8" t="n">
        <x:v>275</x:v>
      </x:c>
      <x:c r="P4" s="8" t="n">
        <x:f>ROUND(L4*M4,2)</x:f>
        <x:v>25</x:v>
      </x:c>
      <x:c r="Q4" s="8" t="n">
        <x:f>ROUND(L4+N4,2)</x:f>
        <x:v>275</x:v>
      </x:c>
      <x:c r="R4" s="8" t="n">
        <x:f>ROUND(O4-Q4,2)</x:f>
        <x:v>0</x:v>
      </x:c>
      <x:c r="S4" s="6" t="str">
        <x:f>IF(COUNTIFS($C$2:C4,C4,$G$2:G4,G4,$K$2:K4,K4)&gt;1,"Duplicate","Unique")</x:f>
        <x:v>Unique</x:v>
      </x:c>
      <x:c r="T4" s="6" t="str">
        <x:f>IF(D4="","Supplier ABN missing; verify before claiming","ABR no record; verify before claiming")</x:f>
        <x:v>ABR no record; verify before claiming</x:v>
      </x:c>
      <x:c r="U4" s="10" t="n">
        <x:f>ROUND(N4-P4,2)</x:f>
        <x:v>0</x:v>
      </x:c>
    </x:row>
    <x:row r="5" ht="42" customHeight="1">
      <x:c r="A5" s="6" t="str">
        <x:v>04-cloud.pdf</x:v>
      </x:c>
      <x:c r="B5" s="6" t="n">
        <x:v>1</x:v>
      </x:c>
      <x:c r="C5" s="6" t="str">
        <x:v>Cloud Clip Library</x:v>
      </x:c>
      <x:c r="D5" s="6" t="str">
        <x:v>23 000 000 004</x:v>
      </x:c>
      <x:c r="E5" s="6" t="str">
        <x:v>Cedar Events</x:v>
      </x:c>
      <x:c r="F5" s="6" t="str">
        <x:v>TAX INVOICE</x:v>
      </x:c>
      <x:c r="G5" s="6" t="str">
        <x:v>CCL-0410</x:v>
      </x:c>
      <x:c r="H5" s="7" t="d">
        <x:v>2026-10-07T00:00:00.000Z</x:v>
      </x:c>
      <x:c r="I5" s="7" t="d">
        <x:v>2026-10-21T00:00:00.000Z</x:v>
      </x:c>
      <x:c r="J5" s="6" t="str">
        <x:v>MEDIA-04</x:v>
      </x:c>
      <x:c r="K5" s="6" t="str">
        <x:v>AUD</x:v>
      </x:c>
      <x:c r="L5" s="8" t="n">
        <x:v>300</x:v>
      </x:c>
      <x:c r="M5" s="9" t="n">
        <x:v>0.1</x:v>
      </x:c>
      <x:c r="N5" s="8" t="n">
        <x:v>30</x:v>
      </x:c>
      <x:c r="O5" s="8" t="n">
        <x:v>330</x:v>
      </x:c>
      <x:c r="P5" s="8" t="n">
        <x:f>ROUND(L5*M5,2)</x:f>
        <x:v>30</x:v>
      </x:c>
      <x:c r="Q5" s="8" t="n">
        <x:f>ROUND(L5+N5,2)</x:f>
        <x:v>330</x:v>
      </x:c>
      <x:c r="R5" s="8" t="n">
        <x:f>ROUND(O5-Q5,2)</x:f>
        <x:v>0</x:v>
      </x:c>
      <x:c r="S5" s="6" t="str">
        <x:f>IF(COUNTIFS($C$2:C5,C5,$G$2:G5,G5,$K$2:K5,K5)&gt;1,"Duplicate","Unique")</x:f>
        <x:v>Unique</x:v>
      </x:c>
      <x:c r="T5" s="6" t="str">
        <x:f>IF(D5="","Supplier ABN missing; verify before claiming","ABR no record; verify before claiming")</x:f>
        <x:v>ABR no record; verify before claiming</x:v>
      </x:c>
      <x:c r="U5" s="10" t="n">
        <x:f>ROUND(N5-P5,2)</x:f>
        <x:v>0</x:v>
      </x:c>
    </x:row>
    <x:row r="6" ht="42" customHeight="1">
      <x:c r="A6" s="6" t="str">
        <x:v>05-stage.pdf</x:v>
      </x:c>
      <x:c r="B6" s="6" t="n">
        <x:v>1</x:v>
      </x:c>
      <x:c r="C6" s="6" t="str">
        <x:v>Stage Kit Hire</x:v>
      </x:c>
      <x:c r="D6" s="6" t="str">
        <x:v>93 000 000 005</x:v>
      </x:c>
      <x:c r="E6" s="6" t="str">
        <x:v>Cedar Events</x:v>
      </x:c>
      <x:c r="F6" s="6" t="str">
        <x:v>TAX INVOICE</x:v>
      </x:c>
      <x:c r="G6" s="6" t="str">
        <x:v>SKH-0501</x:v>
      </x:c>
      <x:c r="H6" s="7" t="d">
        <x:v>2026-10-09T00:00:00.000Z</x:v>
      </x:c>
      <x:c r="I6" s="7" t="d">
        <x:v>2026-10-23T00:00:00.000Z</x:v>
      </x:c>
      <x:c r="J6" s="6" t="str">
        <x:v>EV-026</x:v>
      </x:c>
      <x:c r="K6" s="6" t="str">
        <x:v>AUD</x:v>
      </x:c>
      <x:c r="L6" s="8" t="n">
        <x:v>500</x:v>
      </x:c>
      <x:c r="M6" s="9" t="n">
        <x:v>0.1</x:v>
      </x:c>
      <x:c r="N6" s="8" t="n">
        <x:v>50</x:v>
      </x:c>
      <x:c r="O6" s="8" t="n">
        <x:v>550</x:v>
      </x:c>
      <x:c r="P6" s="8" t="n">
        <x:f>ROUND(L6*M6,2)</x:f>
        <x:v>50</x:v>
      </x:c>
      <x:c r="Q6" s="8" t="n">
        <x:f>ROUND(L6+N6,2)</x:f>
        <x:v>550</x:v>
      </x:c>
      <x:c r="R6" s="8" t="n">
        <x:f>ROUND(O6-Q6,2)</x:f>
        <x:v>0</x:v>
      </x:c>
      <x:c r="S6" s="6" t="str">
        <x:f>IF(COUNTIFS($C$2:C6,C6,$G$2:G6,G6,$K$2:K6,K6)&gt;1,"Duplicate","Unique")</x:f>
        <x:v>Unique</x:v>
      </x:c>
      <x:c r="T6" s="6" t="str">
        <x:f>IF(D6="","Supplier ABN missing; verify before claiming","ABR no record; verify before claiming")</x:f>
        <x:v>ABR no record; verify before claiming</x:v>
      </x:c>
      <x:c r="U6" s="10" t="n">
        <x:f>ROUND(N6-P6,2)</x:f>
        <x:v>0</x:v>
      </x:c>
    </x:row>
    <x:row r="7" ht="42" customHeight="1">
      <x:c r="A7" s="6" t="str">
        <x:v>06-lumen-copy.pdf</x:v>
      </x:c>
      <x:c r="B7" s="6" t="n">
        <x:v>1</x:v>
      </x:c>
      <x:c r="C7" s="6" t="str">
        <x:v>Lumen Event Studio</x:v>
      </x:c>
      <x:c r="D7" s="6" t="str">
        <x:v>80 000 000 001</x:v>
      </x:c>
      <x:c r="E7" s="6" t="str">
        <x:v>Cedar Events</x:v>
      </x:c>
      <x:c r="F7" s="6" t="str">
        <x:v>TAX INVOICE</x:v>
      </x:c>
      <x:c r="G7" s="6" t="str">
        <x:v>LUM-1001</x:v>
      </x:c>
      <x:c r="H7" s="7" t="d">
        <x:v>2026-10-01T00:00:00.000Z</x:v>
      </x:c>
      <x:c r="I7" s="7" t="d">
        <x:v>2026-10-15T00:00:00.000Z</x:v>
      </x:c>
      <x:c r="J7" s="6" t="str">
        <x:v>EV-026</x:v>
      </x:c>
      <x:c r="K7" s="6" t="str">
        <x:v>AUD</x:v>
      </x:c>
      <x:c r="L7" s="8" t="n">
        <x:v>1000</x:v>
      </x:c>
      <x:c r="M7" s="9" t="n">
        <x:v>0.1</x:v>
      </x:c>
      <x:c r="N7" s="8" t="n">
        <x:v>100</x:v>
      </x:c>
      <x:c r="O7" s="8" t="n">
        <x:v>1100</x:v>
      </x:c>
      <x:c r="P7" s="8" t="n">
        <x:f>ROUND(L7*M7,2)</x:f>
        <x:v>100</x:v>
      </x:c>
      <x:c r="Q7" s="8" t="n">
        <x:f>ROUND(L7+N7,2)</x:f>
        <x:v>1100</x:v>
      </x:c>
      <x:c r="R7" s="8" t="n">
        <x:f>ROUND(O7-Q7,2)</x:f>
        <x:v>0</x:v>
      </x:c>
      <x:c r="S7" s="6" t="str">
        <x:f>IF(COUNTIFS($C$2:C7,C7,$G$2:G7,G7,$K$2:K7,K7)&gt;1,"Duplicate","Unique")</x:f>
        <x:v>Duplicate</x:v>
      </x:c>
      <x:c r="T7" s="6" t="str">
        <x:f>IF(D7="","Supplier ABN missing; verify before claiming","ABR no record; verify before claiming")</x:f>
        <x:v>ABR no record; verify before claiming</x:v>
      </x:c>
      <x:c r="U7" s="10" t="n">
        <x:f>ROUND(N7-P7,2)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3" hidden="0" customWidth="1"/>
    <x:col min="3" max="3" width="55" hidden="0" customWidth="1"/>
  </x:cols>
  <x:sheetData>
    <x:row r="1" ht="32" customHeight="1">
      <x:c r="A1" s="15" t="str">
        <x:v>Australian invoice review</x:v>
      </x:c>
      <x:c r="B1" s="15" t="str">
        <x:v>Value</x:v>
      </x:c>
      <x:c r="C1" s="15" t="str">
        <x:v>Unit / review</x:v>
      </x:c>
    </x:row>
    <x:row r="2" ht="32" customHeight="1">
      <x:c r="A2" s="16" t="str">
        <x:v>Source documents</x:v>
      </x:c>
      <x:c r="B2" s="16" t="n">
        <x:f>COUNTA(Register!A2:A7)</x:f>
        <x:v>6</x:v>
      </x:c>
      <x:c r="C2" s="16" t="str">
        <x:v>files</x:v>
      </x:c>
    </x:row>
    <x:row r="3" ht="32" customHeight="1">
      <x:c r="A3" s="16" t="str">
        <x:v>Unique invoices</x:v>
      </x:c>
      <x:c r="B3" s="16" t="n">
        <x:f>COUNTIF(Register!S2:S7,"Unique")</x:f>
        <x:v>5</x:v>
      </x:c>
      <x:c r="C3" s="16" t="str">
        <x:v>invoices</x:v>
      </x:c>
    </x:row>
    <x:row r="4" ht="32" customHeight="1">
      <x:c r="A4" s="16" t="str">
        <x:v>Duplicate originals</x:v>
      </x:c>
      <x:c r="B4" s="16" t="n">
        <x:f>COUNTIF(Register!S2:S7,"Duplicate")</x:f>
        <x:v>1</x:v>
      </x:c>
      <x:c r="C4" s="16" t="str">
        <x:v>files</x:v>
      </x:c>
    </x:row>
    <x:row r="5" ht="32" customHeight="1">
      <x:c r="A5" s="16" t="str">
        <x:v>Subtotal ex GST</x:v>
      </x:c>
      <x:c r="B5" s="17" t="n">
        <x:f>SUMIFS(Register!L2:L7,Register!S2:S7,"Unique")</x:f>
        <x:v>2650</x:v>
      </x:c>
      <x:c r="C5" s="16" t="str">
        <x:v>AUD</x:v>
      </x:c>
    </x:row>
    <x:row r="6" ht="32" customHeight="1">
      <x:c r="A6" s="16" t="str">
        <x:v>GST shown</x:v>
      </x:c>
      <x:c r="B6" s="17" t="n">
        <x:f>SUMIFS(Register!N2:N7,Register!S2:S7,"Unique")</x:f>
        <x:v>265</x:v>
      </x:c>
      <x:c r="C6" s="16" t="str">
        <x:v>AUD</x:v>
      </x:c>
    </x:row>
    <x:row r="7" ht="32" customHeight="1">
      <x:c r="A7" s="16" t="str">
        <x:v>Total incl GST</x:v>
      </x:c>
      <x:c r="B7" s="17" t="n">
        <x:f>SUMIFS(Register!O2:O7,Register!S2:S7,"Unique")</x:f>
        <x:v>2915</x:v>
      </x:c>
      <x:c r="C7" s="16" t="str">
        <x:v>AUD</x:v>
      </x:c>
    </x:row>
    <x:row r="8" ht="32" customHeight="1">
      <x:c r="A8" s="16" t="str">
        <x:v>Arithmetic exceptions</x:v>
      </x:c>
      <x:c r="B8" s="16" t="n">
        <x:f>COUNTIFS(Register!R2:R7,"&lt;&gt;0",Register!S2:S7,"Unique")</x:f>
        <x:v>0</x:v>
      </x:c>
      <x:c r="C8" s="16" t="str">
        <x:v>unique invoices</x:v>
      </x:c>
    </x:row>
    <x:row r="9" ht="32" customHeight="1">
      <x:c r="A9" s="16" t="str">
        <x:v>ABR no-record results</x:v>
      </x:c>
      <x:c r="B9" s="16" t="n">
        <x:f>COUNTIFS(Register!T2:T7,"ABR no record; verify before claiming",Register!S2:S7,"Unique")</x:f>
        <x:v>5</x:v>
      </x:c>
      <x:c r="C9" s="16" t="str">
        <x:v>unique invoices</x:v>
      </x:c>
    </x:row>
    <x:row r="10" ht="48" customHeight="1">
      <x:c r="A10" s="16" t="str">
        <x:v>GST-credit eligibility</x:v>
      </x:c>
      <x:c r="B10" s="16" t="str">
        <x:v>Not determined</x:v>
      </x:c>
      <x:c r="C10" s="16" t="str">
        <x:v>Supplier identity and GST registration require verification</x:v>
      </x:c>
    </x:row>
  </x:sheetData>
  <x:pageMargins left="0.7" right="0.7" top="0.75" bottom="0.75" header="0.3" footer="0.3"/>
</x:worksheet>
</file>