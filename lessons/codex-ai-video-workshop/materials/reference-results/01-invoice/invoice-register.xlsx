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8c9cd9f4ff45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gister" sheetId="1" r:id="R2984be3e5e20409f"/>
    <x:sheet xmlns:r="http://schemas.openxmlformats.org/officeDocument/2006/relationships" name="Totals" sheetId="2" r:id="R47ccb28fac3b4b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.00"/>
  </x:numFmts>
  <x:fonts count="3">
    <x:font>
      <x:sz val="11"/>
      <x:name val="Carlito"/>
    </x:font>
    <x:font>
      <x:sz val="11"/>
      <x:color rgb="FF1F1B2D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7142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2adb6b053b4ac0" /><Relationship Type="http://schemas.openxmlformats.org/officeDocument/2006/relationships/theme" Target="/xl/theme/theme1.xml" Id="Re95fa9bbe4b54028" /><Relationship Type="http://schemas.openxmlformats.org/officeDocument/2006/relationships/sharedStrings" Target="/xl/sharedStrings.xml" Id="R6c6fdf7d57e64c03" /><Relationship Type="http://schemas.openxmlformats.org/officeDocument/2006/relationships/worksheet" Target="/xl/worksheets/sheet1.xml" Id="R2984be3e5e20409f" /><Relationship Type="http://schemas.openxmlformats.org/officeDocument/2006/relationships/worksheet" Target="/xl/worksheets/sheet2.xml" Id="R47ccb28fac3b4be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6" hidden="0" customWidth="1"/>
    <x:col min="3" max="3" width="38" hidden="0" customWidth="1"/>
    <x:col min="4" max="4" width="22" hidden="0" customWidth="1"/>
    <x:col min="5" max="5" width="19" hidden="0" customWidth="1"/>
    <x:col min="6" max="6" width="19" hidden="0" customWidth="1"/>
    <x:col min="7" max="7" width="21" hidden="0" customWidth="1"/>
    <x:col min="8" max="8" width="15" hidden="0" customWidth="1"/>
    <x:col min="9" max="9" width="18" hidden="0" customWidth="1"/>
    <x:col min="10" max="10" width="20" hidden="0" customWidth="1"/>
    <x:col min="11" max="11" width="22" hidden="0" customWidth="1"/>
    <x:col min="12" max="12" width="22" hidden="0" customWidth="1"/>
    <x:col min="13" max="13" width="18" hidden="0" customWidth="1"/>
    <x:col min="14" max="14" width="28" hidden="0" customWidth="1"/>
    <x:col min="15" max="15" width="60" hidden="0" customWidth="1"/>
  </x:cols>
  <x:sheetData>
    <x:row r="1" ht="34" customHeight="1">
      <x:c r="A1" s="4" t="str">
        <x:v>source_file</x:v>
      </x:c>
      <x:c r="B1" s="4" t="str">
        <x:v>source_page</x:v>
      </x:c>
      <x:c r="C1" s="4" t="str">
        <x:v>vendor</x:v>
      </x:c>
      <x:c r="D1" s="4" t="str">
        <x:v>invoice_number</x:v>
      </x:c>
      <x:c r="E1" s="4" t="str">
        <x:v>invoice_date</x:v>
      </x:c>
      <x:c r="F1" s="4" t="str">
        <x:v>due_date</x:v>
      </x:c>
      <x:c r="G1" s="4" t="str">
        <x:v>purchase_order</x:v>
      </x:c>
      <x:c r="H1" s="4" t="str">
        <x:v>currency</x:v>
      </x:c>
      <x:c r="I1" s="4" t="str">
        <x:v>subtotal</x:v>
      </x:c>
      <x:c r="J1" s="4" t="str">
        <x:v>tax_as_stated</x:v>
      </x:c>
      <x:c r="K1" s="4" t="str">
        <x:v>total_as_stated</x:v>
      </x:c>
      <x:c r="L1" s="4" t="str">
        <x:v>calculated_total</x:v>
      </x:c>
      <x:c r="M1" s="4" t="str">
        <x:v>difference</x:v>
      </x:c>
      <x:c r="N1" s="4" t="str">
        <x:v>status</x:v>
      </x:c>
      <x:c r="O1" s="4" t="str">
        <x:v>reason</x:v>
      </x:c>
    </x:row>
    <x:row r="2" ht="27" customHeight="1">
      <x:c r="A2" s="2" t="str">
        <x:v>01-lumen.pdf</x:v>
      </x:c>
      <x:c r="B2" s="2" t="n">
        <x:v>1</x:v>
      </x:c>
      <x:c r="C2" s="2" t="str">
        <x:v>Lumen Event Studio (Fictional)</x:v>
      </x:c>
      <x:c r="D2" s="2" t="str">
        <x:v>LUM-1001</x:v>
      </x:c>
      <x:c r="E2" s="5" t="d">
        <x:v>2026-10-01T00:00:00.000Z</x:v>
      </x:c>
      <x:c r="F2" s="5" t="d">
        <x:v>2026-10-15T00:00:00.000Z</x:v>
      </x:c>
      <x:c r="G2" s="2" t="str">
        <x:v>EV-026</x:v>
      </x:c>
      <x:c r="H2" s="2" t="str">
        <x:v>AUD</x:v>
      </x:c>
      <x:c r="I2" s="6" t="n">
        <x:v>1000</x:v>
      </x:c>
      <x:c r="J2" s="6" t="n">
        <x:v>100</x:v>
      </x:c>
      <x:c r="K2" s="6" t="n">
        <x:v>1100</x:v>
      </x:c>
      <x:c r="L2" s="6" t="n">
        <x:f>I2+J2</x:f>
        <x:v>1100</x:v>
      </x:c>
      <x:c r="M2" s="6" t="n">
        <x:f>K2-L2</x:f>
        <x:v>0</x:v>
      </x:c>
      <x:c r="N2" s="2" t="str">
        <x:v>Recorded</x:v>
      </x:c>
      <x:c r="O2" s="2" t="str"/>
    </x:row>
    <x:row r="3" ht="27" customHeight="1">
      <x:c r="A3" s="2" t="str">
        <x:v>02-harbour.pdf</x:v>
      </x:c>
      <x:c r="B3" s="2" t="n">
        <x:v>1</x:v>
      </x:c>
      <x:c r="C3" s="2" t="str">
        <x:v>Harbour Print Lab (Fictional)</x:v>
      </x:c>
      <x:c r="D3" s="2" t="str">
        <x:v>HPL-2008</x:v>
      </x:c>
      <x:c r="E3" s="5" t="d">
        <x:v>2026-10-03T00:00:00.000Z</x:v>
      </x:c>
      <x:c r="F3" s="5" t="d">
        <x:v>2026-10-17T00:00:00.000Z</x:v>
      </x:c>
      <x:c r="G3" s="2" t="str">
        <x:v>EV-026</x:v>
      </x:c>
      <x:c r="H3" s="2" t="str">
        <x:v>AUD</x:v>
      </x:c>
      <x:c r="I3" s="6" t="n">
        <x:v>600</x:v>
      </x:c>
      <x:c r="J3" s="6" t="n">
        <x:v>60</x:v>
      </x:c>
      <x:c r="K3" s="6" t="n">
        <x:v>660</x:v>
      </x:c>
      <x:c r="L3" s="6" t="n">
        <x:f>I3+J3</x:f>
        <x:v>660</x:v>
      </x:c>
      <x:c r="M3" s="6" t="n">
        <x:f>K3-L3</x:f>
        <x:v>0</x:v>
      </x:c>
      <x:c r="N3" s="2" t="str">
        <x:v>Recorded</x:v>
      </x:c>
      <x:c r="O3" s="2" t="str"/>
    </x:row>
    <x:row r="4" ht="27" customHeight="1">
      <x:c r="A4" s="2" t="str">
        <x:v>03-north.pdf</x:v>
      </x:c>
      <x:c r="B4" s="2" t="n">
        <x:v>1</x:v>
      </x:c>
      <x:c r="C4" s="2" t="str">
        <x:v>North Desk Supplies (Fictional)</x:v>
      </x:c>
      <x:c r="D4" s="2" t="str">
        <x:v>NDS-0032</x:v>
      </x:c>
      <x:c r="E4" s="5" t="d">
        <x:v>2026-10-05T00:00:00.000Z</x:v>
      </x:c>
      <x:c r="F4" s="5"/>
      <x:c r="G4" s="2"/>
      <x:c r="H4" s="2" t="str">
        <x:v>AUD</x:v>
      </x:c>
      <x:c r="I4" s="6" t="n">
        <x:v>250</x:v>
      </x:c>
      <x:c r="J4" s="6" t="n">
        <x:v>25</x:v>
      </x:c>
      <x:c r="K4" s="6" t="n">
        <x:v>275</x:v>
      </x:c>
      <x:c r="L4" s="6" t="n">
        <x:f>I4+J4</x:f>
        <x:v>275</x:v>
      </x:c>
      <x:c r="M4" s="6" t="n">
        <x:f>K4-L4</x:f>
        <x:v>0</x:v>
      </x:c>
      <x:c r="N4" s="2" t="str">
        <x:v>Missing fields</x:v>
      </x:c>
      <x:c r="O4" s="2" t="str">
        <x:v>Due date and purchase order not provided</x:v>
      </x:c>
    </x:row>
    <x:row r="5" ht="27" customHeight="1">
      <x:c r="A5" s="2" t="str">
        <x:v>04-cloud.pdf</x:v>
      </x:c>
      <x:c r="B5" s="2" t="n">
        <x:v>1</x:v>
      </x:c>
      <x:c r="C5" s="2" t="str">
        <x:v>Cloud Clip Library (Fictional)</x:v>
      </x:c>
      <x:c r="D5" s="2" t="str">
        <x:v>CCL-0410</x:v>
      </x:c>
      <x:c r="E5" s="5" t="d">
        <x:v>2026-10-07T00:00:00.000Z</x:v>
      </x:c>
      <x:c r="F5" s="5" t="d">
        <x:v>2026-10-21T00:00:00.000Z</x:v>
      </x:c>
      <x:c r="G5" s="2" t="str">
        <x:v>MEDIA-04</x:v>
      </x:c>
      <x:c r="H5" s="2" t="str">
        <x:v>USD</x:v>
      </x:c>
      <x:c r="I5" s="6" t="n">
        <x:v>300</x:v>
      </x:c>
      <x:c r="J5" s="6" t="n">
        <x:v>30</x:v>
      </x:c>
      <x:c r="K5" s="6" t="n">
        <x:v>330</x:v>
      </x:c>
      <x:c r="L5" s="6" t="n">
        <x:f>I5+J5</x:f>
        <x:v>330</x:v>
      </x:c>
      <x:c r="M5" s="6" t="n">
        <x:f>K5-L5</x:f>
        <x:v>0</x:v>
      </x:c>
      <x:c r="N5" s="2" t="str">
        <x:v>Recorded</x:v>
      </x:c>
      <x:c r="O5" s="2" t="str"/>
    </x:row>
    <x:row r="6" ht="27" customHeight="1">
      <x:c r="A6" s="2" t="str">
        <x:v>05-stage.pdf</x:v>
      </x:c>
      <x:c r="B6" s="2" t="n">
        <x:v>1</x:v>
      </x:c>
      <x:c r="C6" s="2" t="str">
        <x:v>Stage Kit Hire (Fictional)</x:v>
      </x:c>
      <x:c r="D6" s="2" t="str">
        <x:v>SKH-0501</x:v>
      </x:c>
      <x:c r="E6" s="5" t="d">
        <x:v>2026-10-09T00:00:00.000Z</x:v>
      </x:c>
      <x:c r="F6" s="5" t="d">
        <x:v>2026-10-23T00:00:00.000Z</x:v>
      </x:c>
      <x:c r="G6" s="2" t="str">
        <x:v>EV-026</x:v>
      </x:c>
      <x:c r="H6" s="2" t="str">
        <x:v>AUD</x:v>
      </x:c>
      <x:c r="I6" s="6" t="n">
        <x:v>500</x:v>
      </x:c>
      <x:c r="J6" s="6" t="n">
        <x:v>50</x:v>
      </x:c>
      <x:c r="K6" s="6" t="n">
        <x:v>560</x:v>
      </x:c>
      <x:c r="L6" s="6" t="n">
        <x:f>I6+J6</x:f>
        <x:v>550</x:v>
      </x:c>
      <x:c r="M6" s="6" t="n">
        <x:f>K6-L6</x:f>
        <x:v>10</x:v>
      </x:c>
      <x:c r="N6" s="2" t="str">
        <x:v>Arithmetic discrepancy</x:v>
      </x:c>
      <x:c r="O6" s="2" t="str">
        <x:v>Stated total exceeds subtotal plus tax by 10 AUD</x:v>
      </x:c>
    </x:row>
    <x:row r="7" ht="27" customHeight="1">
      <x:c r="A7" s="2" t="str">
        <x:v>06-lumen-copy.pdf</x:v>
      </x:c>
      <x:c r="B7" s="2" t="n">
        <x:v>1</x:v>
      </x:c>
      <x:c r="C7" s="2" t="str">
        <x:v>Lumen Event Studio (Fictional)</x:v>
      </x:c>
      <x:c r="D7" s="2" t="str">
        <x:v>LUM-1001</x:v>
      </x:c>
      <x:c r="E7" s="5" t="d">
        <x:v>2026-10-01T00:00:00.000Z</x:v>
      </x:c>
      <x:c r="F7" s="5" t="d">
        <x:v>2026-10-15T00:00:00.000Z</x:v>
      </x:c>
      <x:c r="G7" s="2" t="str">
        <x:v>EV-026</x:v>
      </x:c>
      <x:c r="H7" s="2" t="str">
        <x:v>AUD</x:v>
      </x:c>
      <x:c r="I7" s="6" t="n">
        <x:v>1000</x:v>
      </x:c>
      <x:c r="J7" s="6" t="n">
        <x:v>100</x:v>
      </x:c>
      <x:c r="K7" s="6" t="n">
        <x:v>1100</x:v>
      </x:c>
      <x:c r="L7" s="6" t="n">
        <x:f>I7+J7</x:f>
        <x:v>1100</x:v>
      </x:c>
      <x:c r="M7" s="6" t="n">
        <x:f>K7-L7</x:f>
        <x:v>0</x:v>
      </x:c>
      <x:c r="N7" s="2" t="str">
        <x:v>Duplicate</x:v>
      </x:c>
      <x:c r="O7" s="2" t="str">
        <x:v>Same key as 01-lumen.pdf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30" hidden="0" customWidth="1"/>
    <x:col min="3" max="3" width="43" hidden="0" customWidth="1"/>
  </x:cols>
  <x:sheetData>
    <x:row r="1" ht="34" customHeight="1">
      <x:c r="A1" s="4" t="str">
        <x:v>Currency</x:v>
      </x:c>
      <x:c r="B1" s="4" t="str">
        <x:v>Unique stated total</x:v>
      </x:c>
      <x:c r="C1" s="4" t="str">
        <x:v>Excluding arithmetic discrepancy</x:v>
      </x:c>
    </x:row>
    <x:row r="2" ht="27" customHeight="1">
      <x:c r="A2" s="2" t="str">
        <x:v>AUD</x:v>
      </x:c>
      <x:c r="B2" s="6" t="n">
        <x:f>SUMIFS(Register!$K$2:$K$7,Register!$H$2:$H$7,A2,Register!$N$2:$N$7,"&lt;&gt;Duplicate")</x:f>
        <x:v>2595</x:v>
      </x:c>
      <x:c r="C2" s="6" t="n">
        <x:f>SUMIFS(Register!$K$2:$K$7,Register!$H$2:$H$7,A2,Register!$N$2:$N$7,"&lt;&gt;Duplicate",Register!$M$2:$M$7,0)</x:f>
        <x:v>2035</x:v>
      </x:c>
    </x:row>
    <x:row r="3" ht="27" customHeight="1">
      <x:c r="A3" s="2" t="str">
        <x:v>USD</x:v>
      </x:c>
      <x:c r="B3" s="6" t="n">
        <x:f>SUMIFS(Register!$K$2:$K$7,Register!$H$2:$H$7,A3,Register!$N$2:$N$7,"&lt;&gt;Duplicate")</x:f>
        <x:v>330</x:v>
      </x:c>
      <x:c r="C3" s="6" t="n">
        <x:f>SUMIFS(Register!$K$2:$K$7,Register!$H$2:$H$7,A3,Register!$N$2:$N$7,"&lt;&gt;Duplicate",Register!$M$2:$M$7,0)</x:f>
        <x:v>330</x:v>
      </x:c>
    </x:row>
  </x:sheetData>
  <x:pageMargins left="0.7" right="0.7" top="0.75" bottom="0.75" header="0.3" footer="0.3"/>
</x:worksheet>
</file>