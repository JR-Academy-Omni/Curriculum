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55beb74c8447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7783724de4c4d68"/>
    <x:sheet xmlns:r="http://schemas.openxmlformats.org/officeDocument/2006/relationships" name="Clean orders" sheetId="2" r:id="Rffe305ada1954b8b"/>
    <x:sheet xmlns:r="http://schemas.openxmlformats.org/officeDocument/2006/relationships" name="Exceptions" sheetId="3" r:id="Ra24399f0e66546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4">
    <x:font>
      <x:sz val="11"/>
      <x:name val="Carlito"/>
    </x:font>
    <x:font>
      <x:sz val="11"/>
      <x:color rgb="FF1F1B2D"/>
      <x:name val="Arial"/>
    </x:font>
    <x:font>
      <x:b/>
      <x:sz val="11"/>
      <x:color rgb="FFFFFFFF"/>
      <x:name val="Arial"/>
    </x:font>
    <x:font>
      <x:b/>
      <x:sz val="16"/>
      <x:color rgb="FF1F1B2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142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529438c74843e6" /><Relationship Type="http://schemas.openxmlformats.org/officeDocument/2006/relationships/theme" Target="/xl/theme/theme1.xml" Id="R356139e129124c31" /><Relationship Type="http://schemas.openxmlformats.org/officeDocument/2006/relationships/sharedStrings" Target="/xl/sharedStrings.xml" Id="Rfcf9c4e9734e48ea" /><Relationship Type="http://schemas.openxmlformats.org/officeDocument/2006/relationships/worksheet" Target="/xl/worksheets/sheet1.xml" Id="R87783724de4c4d68" /><Relationship Type="http://schemas.openxmlformats.org/officeDocument/2006/relationships/worksheet" Target="/xl/worksheets/sheet2.xml" Id="Rffe305ada1954b8b" /><Relationship Type="http://schemas.openxmlformats.org/officeDocument/2006/relationships/worksheet" Target="/xl/worksheets/sheet3.xml" Id="Ra24399f0e66546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2" hidden="0" customWidth="1"/>
    <x:col min="3" max="3" width="5" hidden="0" customWidth="1"/>
    <x:col min="4" max="4" width="24" hidden="0" customWidth="1"/>
    <x:col min="5" max="5" width="22" hidden="0" customWidth="1"/>
  </x:cols>
  <x:sheetData>
    <x:row r="1" ht="28" customHeight="1">
      <x:c r="A1" s="1"/>
      <x:c r="B1" s="1"/>
      <x:c r="C1" s="1"/>
      <x:c r="D1" s="1"/>
      <x:c r="E1" s="1"/>
      <x:c r="F1" s="1"/>
      <x:c r="G1" s="1"/>
      <x:c r="H1" s="1"/>
    </x:row>
    <x:row r="2" ht="28" customHeight="1">
      <x:c r="A2" s="7" t="str">
        <x:v>October order values (AUD)</x:v>
      </x:c>
      <x:c r="B2" s="1"/>
      <x:c r="C2" s="1"/>
      <x:c r="D2" s="1"/>
      <x:c r="E2" s="1"/>
      <x:c r="F2" s="1"/>
      <x:c r="G2" s="1"/>
      <x:c r="H2" s="1"/>
    </x:row>
    <x:row r="3" ht="28" customHeight="1">
      <x:c r="A3" s="1" t="str">
        <x:v>Fictional training reference; signed order values, not recognized revenue.</x:v>
      </x:c>
      <x:c r="B3" s="1"/>
      <x:c r="C3" s="1"/>
      <x:c r="D3" s="1"/>
      <x:c r="E3" s="1"/>
      <x:c r="F3" s="1"/>
      <x:c r="G3" s="1"/>
      <x:c r="H3" s="1"/>
    </x:row>
    <x:row r="4" ht="28" customHeight="1">
      <x:c r="A4" s="1"/>
      <x:c r="B4" s="1"/>
      <x:c r="C4" s="1"/>
      <x:c r="D4" s="1"/>
      <x:c r="E4" s="1"/>
      <x:c r="F4" s="1"/>
      <x:c r="G4" s="1"/>
      <x:c r="H4" s="1"/>
    </x:row>
    <x:row r="5" ht="28" customHeight="1">
      <x:c r="A5" s="9" t="str">
        <x:v>Status</x:v>
      </x:c>
      <x:c r="B5" s="9" t="str">
        <x:v>Amount (AUD)</x:v>
      </x:c>
      <x:c r="C5" s="1"/>
      <x:c r="D5" s="9" t="str">
        <x:v>City</x:v>
      </x:c>
      <x:c r="E5" s="9" t="str">
        <x:v>Amount (AUD)</x:v>
      </x:c>
      <x:c r="F5" s="1"/>
      <x:c r="G5" s="1"/>
      <x:c r="H5" s="1"/>
    </x:row>
    <x:row r="6" ht="28" customHeight="1">
      <x:c r="A6" s="1" t="str">
        <x:v>Paid</x:v>
      </x:c>
      <x:c r="B6" s="10" t="n">
        <x:f>SUMIF('Clean orders'!$G$2:$G$10,A6,'Clean orders'!$I$2:$I$10)</x:f>
        <x:v>1330</x:v>
      </x:c>
      <x:c r="C6" s="1"/>
      <x:c r="D6" s="1" t="str">
        <x:v>Brisbane</x:v>
      </x:c>
      <x:c r="E6" s="10" t="n">
        <x:f>SUMIF('Clean orders'!$C$2:$C$10,D6,'Clean orders'!$I$2:$I$10)</x:f>
        <x:v>480</x:v>
      </x:c>
      <x:c r="F6" s="1"/>
      <x:c r="G6" s="1"/>
      <x:c r="H6" s="1"/>
    </x:row>
    <x:row r="7" ht="28" customHeight="1">
      <x:c r="A7" s="1" t="str">
        <x:v>Pending</x:v>
      </x:c>
      <x:c r="B7" s="10" t="n">
        <x:f>SUMIF('Clean orders'!$G$2:$G$10,A7,'Clean orders'!$I$2:$I$10)</x:f>
        <x:v>490</x:v>
      </x:c>
      <x:c r="C7" s="1"/>
      <x:c r="D7" s="1" t="str">
        <x:v>Sydney</x:v>
      </x:c>
      <x:c r="E7" s="10" t="n">
        <x:f>SUMIF('Clean orders'!$C$2:$C$10,D7,'Clean orders'!$I$2:$I$10)</x:f>
        <x:v>500</x:v>
      </x:c>
      <x:c r="F7" s="1"/>
      <x:c r="G7" s="1"/>
      <x:c r="H7" s="1"/>
    </x:row>
    <x:row r="8" ht="28" customHeight="1">
      <x:c r="A8" s="1" t="str">
        <x:v>Refunded</x:v>
      </x:c>
      <x:c r="B8" s="10" t="n">
        <x:f>SUMIF('Clean orders'!$G$2:$G$10,A8,'Clean orders'!$I$2:$I$10)</x:f>
        <x:v>-120</x:v>
      </x:c>
      <x:c r="C8" s="1"/>
      <x:c r="D8" s="1" t="str">
        <x:v>Melbourne</x:v>
      </x:c>
      <x:c r="E8" s="10" t="n">
        <x:f>SUMIF('Clean orders'!$C$2:$C$10,D8,'Clean orders'!$I$2:$I$10)</x:f>
        <x:v>720</x:v>
      </x:c>
      <x:c r="F8" s="1"/>
      <x:c r="G8" s="1"/>
      <x:c r="H8" s="1"/>
    </x:row>
    <x:row r="9" ht="28" customHeight="1">
      <x:c r="A9" s="1" t="str">
        <x:v>Total</x:v>
      </x:c>
      <x:c r="B9" s="10" t="n">
        <x:f>SUM(B6:B8)</x:f>
        <x:v>1700</x:v>
      </x:c>
      <x:c r="C9" s="1"/>
      <x:c r="D9" s="1" t="str">
        <x:v>Total</x:v>
      </x:c>
      <x:c r="E9" s="10" t="n">
        <x:f>SUM(E6:E8)</x:f>
        <x:v>1700</x:v>
      </x:c>
      <x:c r="F9" s="1"/>
      <x:c r="G9" s="1"/>
      <x:c r="H9" s="1"/>
    </x:row>
    <x:row r="10" ht="28" customHeight="1">
      <x:c r="A10" s="1" t="str">
        <x:v>Accepted orders</x:v>
      </x:c>
      <x:c r="B10" s="1" t="n">
        <x:f>COUNTA('Clean orders'!A2:A10)</x:f>
        <x:v>9</x:v>
      </x:c>
      <x:c r="C10" s="1"/>
      <x:c r="D10" s="1"/>
      <x:c r="E10" s="1"/>
      <x:c r="F10" s="1"/>
      <x:c r="G10" s="1"/>
      <x:c r="H10" s="1"/>
    </x:row>
    <x:row r="11" ht="28" customHeight="1">
      <x:c r="A11" s="1"/>
      <x:c r="B11" s="1"/>
      <x:c r="C11" s="1"/>
      <x:c r="D11" s="1"/>
      <x:c r="E11" s="1"/>
      <x:c r="F11" s="1"/>
      <x:c r="G11" s="1"/>
      <x:c r="H11" s="1"/>
    </x:row>
    <x:row r="12" ht="28" customHeight="1">
      <x:c r="A12" s="9" t="str">
        <x:v>Source disposition</x:v>
      </x:c>
      <x:c r="B12" s="9" t="str">
        <x:v>Rows</x:v>
      </x:c>
      <x:c r="C12" s="1"/>
      <x:c r="D12" s="1"/>
      <x:c r="E12" s="1"/>
      <x:c r="F12" s="1"/>
      <x:c r="G12" s="1"/>
      <x:c r="H12" s="1"/>
    </x:row>
    <x:row r="13" ht="28" customHeight="1">
      <x:c r="A13" s="1" t="str">
        <x:v>Raw rows</x:v>
      </x:c>
      <x:c r="B13" s="1" t="n">
        <x:v>14</x:v>
      </x:c>
      <x:c r="C13" s="1"/>
      <x:c r="D13" s="1"/>
      <x:c r="E13" s="1"/>
      <x:c r="F13" s="1"/>
      <x:c r="G13" s="1"/>
      <x:c r="H13" s="1"/>
    </x:row>
    <x:row r="14" ht="28" customHeight="1">
      <x:c r="A14" s="1" t="str">
        <x:v>Accepted rows</x:v>
      </x:c>
      <x:c r="B14" s="1" t="n">
        <x:f>B10</x:f>
        <x:v>9</x:v>
      </x:c>
      <x:c r="C14" s="1"/>
      <x:c r="D14" s="1"/>
      <x:c r="E14" s="1"/>
      <x:c r="F14" s="1"/>
      <x:c r="G14" s="1"/>
      <x:c r="H14" s="1"/>
    </x:row>
    <x:row r="15" ht="28" customHeight="1">
      <x:c r="A15" s="1" t="str">
        <x:v>Removed duplicate</x:v>
      </x:c>
      <x:c r="B15" s="1" t="n">
        <x:v>1</x:v>
      </x:c>
      <x:c r="C15" s="1"/>
      <x:c r="D15" s="1"/>
      <x:c r="E15" s="1"/>
      <x:c r="F15" s="1"/>
      <x:c r="G15" s="1"/>
      <x:c r="H15" s="1"/>
    </x:row>
    <x:row r="16" ht="28" customHeight="1">
      <x:c r="A16" s="1" t="str">
        <x:v>Quarantined rows</x:v>
      </x:c>
      <x:c r="B16" s="1" t="n">
        <x:v>4</x:v>
      </x:c>
      <x:c r="C16" s="1"/>
      <x:c r="D16" s="1"/>
      <x:c r="E16" s="1"/>
      <x:c r="F16" s="1"/>
      <x:c r="G16" s="1"/>
      <x:c r="H16" s="1"/>
    </x:row>
    <x:row r="17" ht="28" customHeight="1">
      <x:c r="A17" s="1" t="str">
        <x:v>Reconciliation</x:v>
      </x:c>
      <x:c r="B17" s="1" t="n">
        <x:f>B13-SUM(B14:B16)</x:f>
        <x:v>0</x:v>
      </x:c>
      <x:c r="C17" s="1"/>
      <x:c r="D17" s="1"/>
      <x:c r="E17" s="1"/>
      <x:c r="F17" s="1"/>
      <x:c r="G17" s="1"/>
      <x:c r="H17" s="1"/>
    </x:row>
    <x:row r="18" ht="28" customHeight="1">
      <x:c r="A18" s="1"/>
      <x:c r="B18" s="1"/>
      <x:c r="C18" s="1"/>
      <x:c r="D18" s="1"/>
      <x:c r="E18" s="1"/>
      <x:c r="F18" s="1"/>
      <x:c r="G18" s="1"/>
      <x:c r="H18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20" hidden="0" customWidth="1"/>
    <x:col min="4" max="4" width="23" hidden="0" customWidth="1"/>
    <x:col min="5" max="5" width="14" hidden="0" customWidth="1"/>
    <x:col min="6" max="6" width="22" hidden="0" customWidth="1"/>
    <x:col min="7" max="7" width="20" hidden="0" customWidth="1"/>
    <x:col min="8" max="8" width="16" hidden="0" customWidth="1"/>
    <x:col min="9" max="9" width="20" hidden="0" customWidth="1"/>
  </x:cols>
  <x:sheetData>
    <x:row r="1" ht="34" customHeight="1">
      <x:c r="A1" s="4" t="str">
        <x:v>order_id</x:v>
      </x:c>
      <x:c r="B1" s="4" t="str">
        <x:v>date</x:v>
      </x:c>
      <x:c r="C1" s="4" t="str">
        <x:v>city</x:v>
      </x:c>
      <x:c r="D1" s="4" t="str">
        <x:v>product</x:v>
      </x:c>
      <x:c r="E1" s="4" t="str">
        <x:v>quantity</x:v>
      </x:c>
      <x:c r="F1" s="4" t="str">
        <x:v>unit_price_AUD</x:v>
      </x:c>
      <x:c r="G1" s="4" t="str">
        <x:v>status</x:v>
      </x:c>
      <x:c r="H1" s="4" t="str">
        <x:v>source_row</x:v>
      </x:c>
      <x:c r="I1" s="4" t="str">
        <x:v>amount_AUD</x:v>
      </x:c>
    </x:row>
    <x:row r="2" ht="27" customHeight="1">
      <x:c r="A2" s="2" t="str">
        <x:v>O001</x:v>
      </x:c>
      <x:c r="B2" s="5" t="d">
        <x:v>2026-10-01T00:00:00.000Z</x:v>
      </x:c>
      <x:c r="C2" s="2" t="str">
        <x:v>Brisbane</x:v>
      </x:c>
      <x:c r="D2" s="2" t="str">
        <x:v>Workshop</x:v>
      </x:c>
      <x:c r="E2" s="2" t="n">
        <x:v>2</x:v>
      </x:c>
      <x:c r="F2" s="6" t="n">
        <x:v>120</x:v>
      </x:c>
      <x:c r="G2" s="2" t="str">
        <x:v>Paid</x:v>
      </x:c>
      <x:c r="H2" s="2" t="n">
        <x:v>2</x:v>
      </x:c>
      <x:c r="I2" s="6" t="n">
        <x:f>E2*F2</x:f>
        <x:v>240</x:v>
      </x:c>
    </x:row>
    <x:row r="3" ht="27" customHeight="1">
      <x:c r="A3" s="2" t="str">
        <x:v>O002</x:v>
      </x:c>
      <x:c r="B3" s="5" t="d">
        <x:v>2026-10-02T00:00:00.000Z</x:v>
      </x:c>
      <x:c r="C3" s="2" t="str">
        <x:v>Sydney</x:v>
      </x:c>
      <x:c r="D3" s="2" t="str">
        <x:v>Consultation</x:v>
      </x:c>
      <x:c r="E3" s="2" t="n">
        <x:v>1</x:v>
      </x:c>
      <x:c r="F3" s="6" t="n">
        <x:v>250</x:v>
      </x:c>
      <x:c r="G3" s="2" t="str">
        <x:v>Paid</x:v>
      </x:c>
      <x:c r="H3" s="2" t="n">
        <x:v>3</x:v>
      </x:c>
      <x:c r="I3" s="6" t="n">
        <x:f>E3*F3</x:f>
        <x:v>250</x:v>
      </x:c>
    </x:row>
    <x:row r="4" ht="27" customHeight="1">
      <x:c r="A4" s="2" t="str">
        <x:v>O003</x:v>
      </x:c>
      <x:c r="B4" s="5" t="d">
        <x:v>2026-10-03T00:00:00.000Z</x:v>
      </x:c>
      <x:c r="C4" s="2" t="str">
        <x:v>Melbourne</x:v>
      </x:c>
      <x:c r="D4" s="2" t="str">
        <x:v>Guide</x:v>
      </x:c>
      <x:c r="E4" s="2" t="n">
        <x:v>3</x:v>
      </x:c>
      <x:c r="F4" s="6" t="n">
        <x:v>80</x:v>
      </x:c>
      <x:c r="G4" s="2" t="str">
        <x:v>Pending</x:v>
      </x:c>
      <x:c r="H4" s="2" t="n">
        <x:v>4</x:v>
      </x:c>
      <x:c r="I4" s="6" t="n">
        <x:f>E4*F4</x:f>
        <x:v>240</x:v>
      </x:c>
    </x:row>
    <x:row r="5" ht="27" customHeight="1">
      <x:c r="A5" s="2" t="str">
        <x:v>O004</x:v>
      </x:c>
      <x:c r="B5" s="5" t="d">
        <x:v>2026-10-04T00:00:00.000Z</x:v>
      </x:c>
      <x:c r="C5" s="2" t="str">
        <x:v>Brisbane</x:v>
      </x:c>
      <x:c r="D5" s="2" t="str">
        <x:v>Workshop</x:v>
      </x:c>
      <x:c r="E5" s="2" t="n">
        <x:v>1</x:v>
      </x:c>
      <x:c r="F5" s="6" t="n">
        <x:v>120</x:v>
      </x:c>
      <x:c r="G5" s="2" t="str">
        <x:v>Paid</x:v>
      </x:c>
      <x:c r="H5" s="2" t="n">
        <x:v>5</x:v>
      </x:c>
      <x:c r="I5" s="6" t="n">
        <x:f>E5*F5</x:f>
        <x:v>120</x:v>
      </x:c>
    </x:row>
    <x:row r="6" ht="27" customHeight="1">
      <x:c r="A6" s="2" t="str">
        <x:v>O006</x:v>
      </x:c>
      <x:c r="B6" s="5" t="d">
        <x:v>2026-10-06T00:00:00.000Z</x:v>
      </x:c>
      <x:c r="C6" s="2" t="str">
        <x:v>Brisbane</x:v>
      </x:c>
      <x:c r="D6" s="2" t="str">
        <x:v>Workshop</x:v>
      </x:c>
      <x:c r="E6" s="2" t="n">
        <x:v>-1</x:v>
      </x:c>
      <x:c r="F6" s="6" t="n">
        <x:v>120</x:v>
      </x:c>
      <x:c r="G6" s="2" t="str">
        <x:v>Refunded</x:v>
      </x:c>
      <x:c r="H6" s="2" t="n">
        <x:v>7</x:v>
      </x:c>
      <x:c r="I6" s="6" t="n">
        <x:f>E6*F6</x:f>
        <x:v>-120</x:v>
      </x:c>
    </x:row>
    <x:row r="7" ht="27" customHeight="1">
      <x:c r="A7" s="2" t="str">
        <x:v>O007</x:v>
      </x:c>
      <x:c r="B7" s="5" t="d">
        <x:v>2026-10-07T00:00:00.000Z</x:v>
      </x:c>
      <x:c r="C7" s="2" t="str">
        <x:v>Melbourne</x:v>
      </x:c>
      <x:c r="D7" s="2" t="str">
        <x:v>Guide</x:v>
      </x:c>
      <x:c r="E7" s="2" t="n">
        <x:v>4</x:v>
      </x:c>
      <x:c r="F7" s="6" t="n">
        <x:v>80</x:v>
      </x:c>
      <x:c r="G7" s="2" t="str">
        <x:v>Paid</x:v>
      </x:c>
      <x:c r="H7" s="2" t="n">
        <x:v>8</x:v>
      </x:c>
      <x:c r="I7" s="6" t="n">
        <x:f>E7*F7</x:f>
        <x:v>320</x:v>
      </x:c>
    </x:row>
    <x:row r="8" ht="27" customHeight="1">
      <x:c r="A8" s="2" t="str">
        <x:v>O008</x:v>
      </x:c>
      <x:c r="B8" s="5" t="d">
        <x:v>2026-10-08T00:00:00.000Z</x:v>
      </x:c>
      <x:c r="C8" s="2" t="str">
        <x:v>Brisbane</x:v>
      </x:c>
      <x:c r="D8" s="2" t="str">
        <x:v>Workshop</x:v>
      </x:c>
      <x:c r="E8" s="2" t="n">
        <x:v>2</x:v>
      </x:c>
      <x:c r="F8" s="6" t="n">
        <x:v>120</x:v>
      </x:c>
      <x:c r="G8" s="2" t="str">
        <x:v>Paid</x:v>
      </x:c>
      <x:c r="H8" s="2" t="n">
        <x:v>9</x:v>
      </x:c>
      <x:c r="I8" s="6" t="n">
        <x:f>E8*F8</x:f>
        <x:v>240</x:v>
      </x:c>
    </x:row>
    <x:row r="9" ht="27" customHeight="1">
      <x:c r="A9" s="2" t="str">
        <x:v>O009</x:v>
      </x:c>
      <x:c r="B9" s="5" t="d">
        <x:v>2026-10-09T00:00:00.000Z</x:v>
      </x:c>
      <x:c r="C9" s="2" t="str">
        <x:v>Sydney</x:v>
      </x:c>
      <x:c r="D9" s="2" t="str">
        <x:v>Consultation</x:v>
      </x:c>
      <x:c r="E9" s="2" t="n">
        <x:v>1</x:v>
      </x:c>
      <x:c r="F9" s="6" t="n">
        <x:v>250</x:v>
      </x:c>
      <x:c r="G9" s="2" t="str">
        <x:v>Pending</x:v>
      </x:c>
      <x:c r="H9" s="2" t="n">
        <x:v>10</x:v>
      </x:c>
      <x:c r="I9" s="6" t="n">
        <x:f>E9*F9</x:f>
        <x:v>250</x:v>
      </x:c>
    </x:row>
    <x:row r="10" ht="27" customHeight="1">
      <x:c r="A10" s="2" t="str">
        <x:v>O012</x:v>
      </x:c>
      <x:c r="B10" s="5" t="d">
        <x:v>2026-10-12T00:00:00.000Z</x:v>
      </x:c>
      <x:c r="C10" s="2" t="str">
        <x:v>Melbourne</x:v>
      </x:c>
      <x:c r="D10" s="2" t="str">
        <x:v>Guide</x:v>
      </x:c>
      <x:c r="E10" s="2" t="n">
        <x:v>2</x:v>
      </x:c>
      <x:c r="F10" s="6" t="n">
        <x:v>80</x:v>
      </x:c>
      <x:c r="G10" s="2" t="str">
        <x:v>Paid</x:v>
      </x:c>
      <x:c r="H10" s="2" t="n">
        <x:v>13</x:v>
      </x:c>
      <x:c r="I10" s="6" t="n">
        <x:f>E10*F10</x:f>
        <x:v>160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27" hidden="0" customWidth="1"/>
    <x:col min="4" max="4" width="53" hidden="0" customWidth="1"/>
  </x:cols>
  <x:sheetData>
    <x:row r="1" ht="34" customHeight="1">
      <x:c r="A1" s="4" t="str">
        <x:v>source_row</x:v>
      </x:c>
      <x:c r="B1" s="4" t="str">
        <x:v>order_id</x:v>
      </x:c>
      <x:c r="C1" s="4" t="str">
        <x:v>disposition</x:v>
      </x:c>
      <x:c r="D1" s="4" t="str">
        <x:v>reason</x:v>
      </x:c>
    </x:row>
    <x:row r="2" ht="27" customHeight="1">
      <x:c r="A2" s="2" t="n">
        <x:v>6</x:v>
      </x:c>
      <x:c r="B2" s="2" t="str">
        <x:v>O005</x:v>
      </x:c>
      <x:c r="C2" s="2" t="str">
        <x:v>Quarantine</x:v>
      </x:c>
      <x:c r="D2" s="2" t="str">
        <x:v>Conflicts with source row 15</x:v>
      </x:c>
    </x:row>
    <x:row r="3" ht="27" customHeight="1">
      <x:c r="A3" s="2" t="n">
        <x:v>11</x:v>
      </x:c>
      <x:c r="B3" s="2" t="str">
        <x:v>O010</x:v>
      </x:c>
      <x:c r="C3" s="2" t="str">
        <x:v>Quarantine</x:v>
      </x:c>
      <x:c r="D3" s="2" t="str">
        <x:v>Quantity missing</x:v>
      </x:c>
    </x:row>
    <x:row r="4" ht="27" customHeight="1">
      <x:c r="A4" s="2" t="n">
        <x:v>12</x:v>
      </x:c>
      <x:c r="B4" s="2" t="str">
        <x:v>O011</x:v>
      </x:c>
      <x:c r="C4" s="2" t="str">
        <x:v>Quarantine</x:v>
      </x:c>
      <x:c r="D4" s="2" t="str">
        <x:v>Invalid date: 31/02/2026</x:v>
      </x:c>
    </x:row>
    <x:row r="5" ht="27" customHeight="1">
      <x:c r="A5" s="2" t="n">
        <x:v>14</x:v>
      </x:c>
      <x:c r="B5" s="2" t="str">
        <x:v>O003</x:v>
      </x:c>
      <x:c r="C5" s="2" t="str">
        <x:v>Duplicate removed</x:v>
      </x:c>
      <x:c r="D5" s="2" t="str">
        <x:v>Matches normalized source row 4</x:v>
      </x:c>
    </x:row>
    <x:row r="6" ht="27" customHeight="1">
      <x:c r="A6" s="2" t="n">
        <x:v>15</x:v>
      </x:c>
      <x:c r="B6" s="2" t="str">
        <x:v>O005</x:v>
      </x:c>
      <x:c r="C6" s="2" t="str">
        <x:v>Quarantine</x:v>
      </x:c>
      <x:c r="D6" s="2" t="str">
        <x:v>Conflicts with source row 6</x:v>
      </x:c>
    </x:row>
  </x:sheetData>
  <x:pageMargins left="0.7" right="0.7" top="0.75" bottom="0.75" header="0.3" footer="0.3"/>
</x:worksheet>
</file>